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tien\build\LFF\docs\"/>
    </mc:Choice>
  </mc:AlternateContent>
  <xr:revisionPtr revIDLastSave="0" documentId="13_ncr:1_{43B8A28C-C09C-4AD2-BBFC-8804B5978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imated amounts" sheetId="1" r:id="rId1"/>
  </sheets>
  <definedNames>
    <definedName name="_xlnm._FilterDatabase" localSheetId="0" hidden="1">'Estimated amounts'!$A$6:$H$53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D56" i="1"/>
  <c r="D55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LFF site</author>
  </authors>
  <commentList>
    <comment ref="D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data/data.json, donate.causes[].items[].amountUSD, as published on the site on 23 September 2026.</t>
        </r>
      </text>
    </comment>
  </commentList>
</comments>
</file>

<file path=xl/sharedStrings.xml><?xml version="1.0" encoding="utf-8"?>
<sst xmlns="http://schemas.openxmlformats.org/spreadsheetml/2006/main" count="204" uniqueCount="122">
  <si>
    <t>Luigi Footprints Foundation: suggested gift amounts on the donate page</t>
  </si>
  <si>
    <t>Amounts are in US dollars, as shown on the site. Blue figures are the amounts currently on the site; every one marked Estimate was set to build the page, not taken from a foundation budget.</t>
  </si>
  <si>
    <t>To fill in: type the foundation's real cost in the yellow column 'Confirmed amount'. The Difference column fills itself. Leave it blank where the site's figure is right.</t>
  </si>
  <si>
    <t>Example: if a window really costs US$95, type 95 in the yellow cell on the 'A window' row; Difference shows 15.</t>
  </si>
  <si>
    <t>Project (cause)</t>
  </si>
  <si>
    <t>Item</t>
  </si>
  <si>
    <t>What it pays for</t>
  </si>
  <si>
    <t>Suggested amount on site (US$)</t>
  </si>
  <si>
    <t>Status</t>
  </si>
  <si>
    <t>Confirmed amount (US$)</t>
  </si>
  <si>
    <t>Difference (US$)</t>
  </si>
  <si>
    <t>Notes</t>
  </si>
  <si>
    <t>Dignity Housing for wildlife rangers</t>
  </si>
  <si>
    <t>A window</t>
  </si>
  <si>
    <t>Light and air for a ranger's home; each house has several.</t>
  </si>
  <si>
    <t>Estimate</t>
  </si>
  <si>
    <t>A door</t>
  </si>
  <si>
    <t>A secure door for a home that stands alone in the park.</t>
  </si>
  <si>
    <t>A bed and mattress</t>
  </si>
  <si>
    <t>Each Dignity House sleeps three rangers.</t>
  </si>
  <si>
    <t>Flooring</t>
  </si>
  <si>
    <t>A finished floor over the container's steel.</t>
  </si>
  <si>
    <t>A shower and flush toilet</t>
  </si>
  <si>
    <t>Running water and sanitation in place of the bush.</t>
  </si>
  <si>
    <t>Solar lighting</t>
  </si>
  <si>
    <t>Panels and lights for the evenings, off the grid.</t>
  </si>
  <si>
    <t>Water tanks and plumbing</t>
  </si>
  <si>
    <t>Large tanks and pipework so the home has water all year.</t>
  </si>
  <si>
    <t>A fitted kitchenette</t>
  </si>
  <si>
    <t>A place to cook and store food inside the home.</t>
  </si>
  <si>
    <t>A solar water heater</t>
  </si>
  <si>
    <t>Hot water from the sun, with no fuel to fetch.</t>
  </si>
  <si>
    <t>A complete Dignity House</t>
  </si>
  <si>
    <t>The whole home, fitted and delivered to a ranger camp. A funded house carries a plaque with your name or your organisation's.</t>
  </si>
  <si>
    <t>Verified</t>
  </si>
  <si>
    <t>Verified: the foundation's own figure for a fully fitted home.</t>
  </si>
  <si>
    <t>The Olchani Project</t>
  </si>
  <si>
    <t>Ten indigenous seedlings</t>
  </si>
  <si>
    <t>Raised in a community nursery and planted on degraded land.</t>
  </si>
  <si>
    <t>Nursery tools</t>
  </si>
  <si>
    <t>Watering cans, hoes and potting bags for one nursery.</t>
  </si>
  <si>
    <t>Shade netting for a nursery</t>
  </si>
  <si>
    <t>Shelter for seedlings through the dry months.</t>
  </si>
  <si>
    <t>A month of water for a nursery</t>
  </si>
  <si>
    <t>Water trucked or pumped to keep a nursery's seedlings alive.</t>
  </si>
  <si>
    <t>A hundred indigenous seedlings</t>
  </si>
  <si>
    <t>Enough to plant a stretch of a wildlife corridor.</t>
  </si>
  <si>
    <t>A community planting day</t>
  </si>
  <si>
    <t>Seedlings, transport and a meal for a school or community group.</t>
  </si>
  <si>
    <t>Ubuntu Hay</t>
  </si>
  <si>
    <t>A bale of hay in store</t>
  </si>
  <si>
    <t>One bale harvested, baled and kept in the community barn for the dry season.</t>
  </si>
  <si>
    <t>A day of harvesting and baling</t>
  </si>
  <si>
    <t>Tools, fuel and a meal for the community team on a harvest day.</t>
  </si>
  <si>
    <t>A season's upkeep of the hay barn</t>
  </si>
  <si>
    <t>Roofing, fencing and repairs so the bank stays dry and secure.</t>
  </si>
  <si>
    <t>Ubuntu Smiles</t>
  </si>
  <si>
    <t>Beads and wire for an artisan</t>
  </si>
  <si>
    <t>A month's materials for beadwork sold at the Ushanga shop.</t>
  </si>
  <si>
    <t>A month of fabric and thread</t>
  </si>
  <si>
    <t>Materials for one tailor's orders.</t>
  </si>
  <si>
    <t>Seeds and tools for a family plot</t>
  </si>
  <si>
    <t>As in the COVID-19 livelihoods project, a season's start for one household.</t>
  </si>
  <si>
    <t>A sewing machine</t>
  </si>
  <si>
    <t>For a woman joining Dignity Tailors.</t>
  </si>
  <si>
    <t>A tailoring training place</t>
  </si>
  <si>
    <t>Skills training for one woman, from first stitch to first sale.</t>
  </si>
  <si>
    <t>Scholarships</t>
  </si>
  <si>
    <t>Exam fees for one student</t>
  </si>
  <si>
    <t>The registration fees that decide whether a student sits the national exams.</t>
  </si>
  <si>
    <t>A year of textbooks</t>
  </si>
  <si>
    <t>The set books for one secondary student.</t>
  </si>
  <si>
    <t>School uniform and shoes</t>
  </si>
  <si>
    <t>So a scholarship student arrives dressed like everyone else.</t>
  </si>
  <si>
    <t>The Amboseli OYC Choir</t>
  </si>
  <si>
    <t>Towards costumes, travel and rehearsals for a performance.</t>
  </si>
  <si>
    <t>A term's school fees</t>
  </si>
  <si>
    <t>One term of secondary school for a student who would otherwise miss out.</t>
  </si>
  <si>
    <t>A conservation workshop</t>
  </si>
  <si>
    <t>A day's workshop for a class, run in the Amboseli ecosystem.</t>
  </si>
  <si>
    <t>A year's scholarship</t>
  </si>
  <si>
    <t>A full year of secondary school fees for one student.</t>
  </si>
  <si>
    <t>The Elephant Den</t>
  </si>
  <si>
    <t>A place at the summit</t>
  </si>
  <si>
    <t>Travel, camping and meals for one young person pitching at The Elephant Den.</t>
  </si>
  <si>
    <t>Tools for the Embu nursery</t>
  </si>
  <si>
    <t>Hand tools and potting bags for the youth-run nursery on the land near Embu.</t>
  </si>
  <si>
    <t>Seed capital for a youth enterprise</t>
  </si>
  <si>
    <t>Towards the grant that turns a winning pitch into a working business.</t>
  </si>
  <si>
    <t>Living Safely With Wildlife</t>
  </si>
  <si>
    <t>A pair of ranger boots</t>
  </si>
  <si>
    <t>As in our boots handover, footwear for a ranger on patrol.</t>
  </si>
  <si>
    <t>A beehive</t>
  </si>
  <si>
    <t>Bees along a fence line deter elephants and give the family honey to sell.</t>
  </si>
  <si>
    <t>A bee suit and smoker</t>
  </si>
  <si>
    <t>Protective kit for one beekeeper.</t>
  </si>
  <si>
    <t>A predator-deterrent light</t>
  </si>
  <si>
    <t>Flashing lights that keep lions and hyenas away from a homestead's livestock at night.</t>
  </si>
  <si>
    <t>A place on a coexistence training</t>
  </si>
  <si>
    <t>One community ambassador through a Living Safely With Wildlife toolbox training.</t>
  </si>
  <si>
    <t>Outdoor Classroom Series</t>
  </si>
  <si>
    <t>A field kit for one child</t>
  </si>
  <si>
    <t>A notebook, gloves and a seedling to take home from the nursery.</t>
  </si>
  <si>
    <t>A class visit to a nursery</t>
  </si>
  <si>
    <t>Transport and a meal for a class spending a day at Osoit or Ildepen.</t>
  </si>
  <si>
    <t>Nanare Art Challenge</t>
  </si>
  <si>
    <t>Art materials for one participant</t>
  </si>
  <si>
    <t>Paint, brushes, canvas and fabric for one teenager.</t>
  </si>
  <si>
    <t>A day of the challenge</t>
  </si>
  <si>
    <t>Facilitators, materials and meals for thirty teenagers for one day.</t>
  </si>
  <si>
    <t>Drought relief and park clean-ups</t>
  </si>
  <si>
    <t>A clean-up kit</t>
  </si>
  <si>
    <t>Gloves and bags for ten volunteers on a park clean-up.</t>
  </si>
  <si>
    <t>A day of weed clearing</t>
  </si>
  <si>
    <t>Tools, transport and lunch for a team of ten clearing Parthenium.</t>
  </si>
  <si>
    <t>A water delivery</t>
  </si>
  <si>
    <t>One bowser of water trucked to wildlife in drought.</t>
  </si>
  <si>
    <t>A truckload of hay</t>
  </si>
  <si>
    <t>Feed for wildlife when the grazing has gone.</t>
  </si>
  <si>
    <t>Items listed</t>
  </si>
  <si>
    <t>Of which estimates</t>
  </si>
  <si>
    <t>Confirmed so 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</si>
</sst>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-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595959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1" max="1" width="30" customWidth="1"/>
    <col min="2" max="2" width="34" customWidth="1"/>
    <col min="3" max="3" width="60" customWidth="1"/>
    <col min="4" max="4" width="16" customWidth="1"/>
    <col min="5" max="5" width="11" customWidth="1"/>
    <col min="6" max="6" width="16" customWidth="1"/>
    <col min="7" max="7" width="14" customWidth="1"/>
    <col min="8" max="8" width="40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6" spans="1:8" ht="32.1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 ht="28.5" x14ac:dyDescent="0.25">
      <c r="A7" s="4" t="s">
        <v>12</v>
      </c>
      <c r="B7" s="4" t="s">
        <v>13</v>
      </c>
      <c r="C7" s="4" t="s">
        <v>14</v>
      </c>
      <c r="D7" s="5">
        <v>80</v>
      </c>
      <c r="E7" s="4" t="s">
        <v>15</v>
      </c>
      <c r="F7" s="6"/>
      <c r="G7" s="7" t="str">
        <f t="shared" ref="G7:G53" si="0">IF(F7="","",F7-D7)</f>
        <v/>
      </c>
      <c r="H7" s="4"/>
    </row>
    <row r="8" spans="1:8" ht="28.5" x14ac:dyDescent="0.25">
      <c r="A8" s="4" t="s">
        <v>12</v>
      </c>
      <c r="B8" s="4" t="s">
        <v>16</v>
      </c>
      <c r="C8" s="4" t="s">
        <v>17</v>
      </c>
      <c r="D8" s="5">
        <v>120</v>
      </c>
      <c r="E8" s="4" t="s">
        <v>15</v>
      </c>
      <c r="F8" s="6"/>
      <c r="G8" s="7" t="str">
        <f t="shared" si="0"/>
        <v/>
      </c>
      <c r="H8" s="4"/>
    </row>
    <row r="9" spans="1:8" ht="28.5" x14ac:dyDescent="0.25">
      <c r="A9" s="4" t="s">
        <v>12</v>
      </c>
      <c r="B9" s="4" t="s">
        <v>18</v>
      </c>
      <c r="C9" s="4" t="s">
        <v>19</v>
      </c>
      <c r="D9" s="5">
        <v>140</v>
      </c>
      <c r="E9" s="4" t="s">
        <v>15</v>
      </c>
      <c r="F9" s="6"/>
      <c r="G9" s="7" t="str">
        <f t="shared" si="0"/>
        <v/>
      </c>
      <c r="H9" s="4"/>
    </row>
    <row r="10" spans="1:8" ht="28.5" x14ac:dyDescent="0.25">
      <c r="A10" s="4" t="s">
        <v>12</v>
      </c>
      <c r="B10" s="4" t="s">
        <v>20</v>
      </c>
      <c r="C10" s="4" t="s">
        <v>21</v>
      </c>
      <c r="D10" s="5">
        <v>200</v>
      </c>
      <c r="E10" s="4" t="s">
        <v>15</v>
      </c>
      <c r="F10" s="6"/>
      <c r="G10" s="7" t="str">
        <f t="shared" si="0"/>
        <v/>
      </c>
      <c r="H10" s="4"/>
    </row>
    <row r="11" spans="1:8" ht="28.5" x14ac:dyDescent="0.25">
      <c r="A11" s="4" t="s">
        <v>12</v>
      </c>
      <c r="B11" s="4" t="s">
        <v>22</v>
      </c>
      <c r="C11" s="4" t="s">
        <v>23</v>
      </c>
      <c r="D11" s="5">
        <v>250</v>
      </c>
      <c r="E11" s="4" t="s">
        <v>15</v>
      </c>
      <c r="F11" s="6"/>
      <c r="G11" s="7" t="str">
        <f t="shared" si="0"/>
        <v/>
      </c>
      <c r="H11" s="4"/>
    </row>
    <row r="12" spans="1:8" ht="28.5" x14ac:dyDescent="0.25">
      <c r="A12" s="4" t="s">
        <v>12</v>
      </c>
      <c r="B12" s="4" t="s">
        <v>24</v>
      </c>
      <c r="C12" s="4" t="s">
        <v>25</v>
      </c>
      <c r="D12" s="5">
        <v>350</v>
      </c>
      <c r="E12" s="4" t="s">
        <v>15</v>
      </c>
      <c r="F12" s="6"/>
      <c r="G12" s="7" t="str">
        <f t="shared" si="0"/>
        <v/>
      </c>
      <c r="H12" s="4"/>
    </row>
    <row r="13" spans="1:8" ht="28.5" x14ac:dyDescent="0.25">
      <c r="A13" s="4" t="s">
        <v>12</v>
      </c>
      <c r="B13" s="4" t="s">
        <v>26</v>
      </c>
      <c r="C13" s="4" t="s">
        <v>27</v>
      </c>
      <c r="D13" s="5">
        <v>400</v>
      </c>
      <c r="E13" s="4" t="s">
        <v>15</v>
      </c>
      <c r="F13" s="6"/>
      <c r="G13" s="7" t="str">
        <f t="shared" si="0"/>
        <v/>
      </c>
      <c r="H13" s="4"/>
    </row>
    <row r="14" spans="1:8" ht="28.5" x14ac:dyDescent="0.25">
      <c r="A14" s="4" t="s">
        <v>12</v>
      </c>
      <c r="B14" s="4" t="s">
        <v>28</v>
      </c>
      <c r="C14" s="4" t="s">
        <v>29</v>
      </c>
      <c r="D14" s="5">
        <v>500</v>
      </c>
      <c r="E14" s="4" t="s">
        <v>15</v>
      </c>
      <c r="F14" s="6"/>
      <c r="G14" s="7" t="str">
        <f t="shared" si="0"/>
        <v/>
      </c>
      <c r="H14" s="4"/>
    </row>
    <row r="15" spans="1:8" ht="28.5" x14ac:dyDescent="0.25">
      <c r="A15" s="4" t="s">
        <v>12</v>
      </c>
      <c r="B15" s="4" t="s">
        <v>30</v>
      </c>
      <c r="C15" s="4" t="s">
        <v>31</v>
      </c>
      <c r="D15" s="5">
        <v>650</v>
      </c>
      <c r="E15" s="4" t="s">
        <v>15</v>
      </c>
      <c r="F15" s="6"/>
      <c r="G15" s="7" t="str">
        <f t="shared" si="0"/>
        <v/>
      </c>
      <c r="H15" s="4"/>
    </row>
    <row r="16" spans="1:8" ht="42.75" x14ac:dyDescent="0.25">
      <c r="A16" s="4" t="s">
        <v>12</v>
      </c>
      <c r="B16" s="4" t="s">
        <v>32</v>
      </c>
      <c r="C16" s="4" t="s">
        <v>33</v>
      </c>
      <c r="D16" s="5">
        <v>14000</v>
      </c>
      <c r="E16" s="4" t="s">
        <v>34</v>
      </c>
      <c r="F16" s="6"/>
      <c r="G16" s="7" t="str">
        <f t="shared" si="0"/>
        <v/>
      </c>
      <c r="H16" s="4" t="s">
        <v>35</v>
      </c>
    </row>
    <row r="17" spans="1:8" x14ac:dyDescent="0.25">
      <c r="A17" s="4" t="s">
        <v>36</v>
      </c>
      <c r="B17" s="4" t="s">
        <v>37</v>
      </c>
      <c r="C17" s="4" t="s">
        <v>38</v>
      </c>
      <c r="D17" s="5">
        <v>20</v>
      </c>
      <c r="E17" s="4" t="s">
        <v>15</v>
      </c>
      <c r="F17" s="6"/>
      <c r="G17" s="7" t="str">
        <f t="shared" si="0"/>
        <v/>
      </c>
      <c r="H17" s="4"/>
    </row>
    <row r="18" spans="1:8" x14ac:dyDescent="0.25">
      <c r="A18" s="4" t="s">
        <v>36</v>
      </c>
      <c r="B18" s="4" t="s">
        <v>39</v>
      </c>
      <c r="C18" s="4" t="s">
        <v>40</v>
      </c>
      <c r="D18" s="5">
        <v>60</v>
      </c>
      <c r="E18" s="4" t="s">
        <v>15</v>
      </c>
      <c r="F18" s="6"/>
      <c r="G18" s="7" t="str">
        <f t="shared" si="0"/>
        <v/>
      </c>
      <c r="H18" s="4"/>
    </row>
    <row r="19" spans="1:8" x14ac:dyDescent="0.25">
      <c r="A19" s="4" t="s">
        <v>36</v>
      </c>
      <c r="B19" s="4" t="s">
        <v>41</v>
      </c>
      <c r="C19" s="4" t="s">
        <v>42</v>
      </c>
      <c r="D19" s="5">
        <v>90</v>
      </c>
      <c r="E19" s="4" t="s">
        <v>15</v>
      </c>
      <c r="F19" s="6"/>
      <c r="G19" s="7" t="str">
        <f t="shared" si="0"/>
        <v/>
      </c>
      <c r="H19" s="4"/>
    </row>
    <row r="20" spans="1:8" x14ac:dyDescent="0.25">
      <c r="A20" s="4" t="s">
        <v>36</v>
      </c>
      <c r="B20" s="4" t="s">
        <v>43</v>
      </c>
      <c r="C20" s="4" t="s">
        <v>44</v>
      </c>
      <c r="D20" s="5">
        <v>120</v>
      </c>
      <c r="E20" s="4" t="s">
        <v>15</v>
      </c>
      <c r="F20" s="6"/>
      <c r="G20" s="7" t="str">
        <f t="shared" si="0"/>
        <v/>
      </c>
      <c r="H20" s="4"/>
    </row>
    <row r="21" spans="1:8" x14ac:dyDescent="0.25">
      <c r="A21" s="4" t="s">
        <v>36</v>
      </c>
      <c r="B21" s="4" t="s">
        <v>45</v>
      </c>
      <c r="C21" s="4" t="s">
        <v>46</v>
      </c>
      <c r="D21" s="5">
        <v>150</v>
      </c>
      <c r="E21" s="4" t="s">
        <v>15</v>
      </c>
      <c r="F21" s="6"/>
      <c r="G21" s="7" t="str">
        <f t="shared" si="0"/>
        <v/>
      </c>
      <c r="H21" s="4"/>
    </row>
    <row r="22" spans="1:8" ht="28.5" x14ac:dyDescent="0.25">
      <c r="A22" s="4" t="s">
        <v>36</v>
      </c>
      <c r="B22" s="4" t="s">
        <v>47</v>
      </c>
      <c r="C22" s="4" t="s">
        <v>48</v>
      </c>
      <c r="D22" s="5">
        <v>250</v>
      </c>
      <c r="E22" s="4" t="s">
        <v>15</v>
      </c>
      <c r="F22" s="6"/>
      <c r="G22" s="7" t="str">
        <f t="shared" si="0"/>
        <v/>
      </c>
      <c r="H22" s="4"/>
    </row>
    <row r="23" spans="1:8" ht="28.5" x14ac:dyDescent="0.25">
      <c r="A23" s="4" t="s">
        <v>49</v>
      </c>
      <c r="B23" s="4" t="s">
        <v>50</v>
      </c>
      <c r="C23" s="4" t="s">
        <v>51</v>
      </c>
      <c r="D23" s="5">
        <v>6</v>
      </c>
      <c r="E23" s="4" t="s">
        <v>15</v>
      </c>
      <c r="F23" s="6"/>
      <c r="G23" s="7" t="str">
        <f t="shared" si="0"/>
        <v/>
      </c>
      <c r="H23" s="4"/>
    </row>
    <row r="24" spans="1:8" ht="28.5" x14ac:dyDescent="0.25">
      <c r="A24" s="4" t="s">
        <v>49</v>
      </c>
      <c r="B24" s="4" t="s">
        <v>52</v>
      </c>
      <c r="C24" s="4" t="s">
        <v>53</v>
      </c>
      <c r="D24" s="5">
        <v>120</v>
      </c>
      <c r="E24" s="4" t="s">
        <v>15</v>
      </c>
      <c r="F24" s="6"/>
      <c r="G24" s="7" t="str">
        <f t="shared" si="0"/>
        <v/>
      </c>
      <c r="H24" s="4"/>
    </row>
    <row r="25" spans="1:8" ht="28.5" x14ac:dyDescent="0.25">
      <c r="A25" s="4" t="s">
        <v>49</v>
      </c>
      <c r="B25" s="4" t="s">
        <v>54</v>
      </c>
      <c r="C25" s="4" t="s">
        <v>55</v>
      </c>
      <c r="D25" s="5">
        <v>250</v>
      </c>
      <c r="E25" s="4" t="s">
        <v>15</v>
      </c>
      <c r="F25" s="6"/>
      <c r="G25" s="7" t="str">
        <f t="shared" si="0"/>
        <v/>
      </c>
      <c r="H25" s="4"/>
    </row>
    <row r="26" spans="1:8" x14ac:dyDescent="0.25">
      <c r="A26" s="4" t="s">
        <v>56</v>
      </c>
      <c r="B26" s="4" t="s">
        <v>57</v>
      </c>
      <c r="C26" s="4" t="s">
        <v>58</v>
      </c>
      <c r="D26" s="5">
        <v>35</v>
      </c>
      <c r="E26" s="4" t="s">
        <v>15</v>
      </c>
      <c r="F26" s="6"/>
      <c r="G26" s="7" t="str">
        <f t="shared" si="0"/>
        <v/>
      </c>
      <c r="H26" s="4"/>
    </row>
    <row r="27" spans="1:8" x14ac:dyDescent="0.25">
      <c r="A27" s="4" t="s">
        <v>56</v>
      </c>
      <c r="B27" s="4" t="s">
        <v>59</v>
      </c>
      <c r="C27" s="4" t="s">
        <v>60</v>
      </c>
      <c r="D27" s="5">
        <v>60</v>
      </c>
      <c r="E27" s="4" t="s">
        <v>15</v>
      </c>
      <c r="F27" s="6"/>
      <c r="G27" s="7" t="str">
        <f t="shared" si="0"/>
        <v/>
      </c>
      <c r="H27" s="4"/>
    </row>
    <row r="28" spans="1:8" ht="28.5" x14ac:dyDescent="0.25">
      <c r="A28" s="4" t="s">
        <v>56</v>
      </c>
      <c r="B28" s="4" t="s">
        <v>61</v>
      </c>
      <c r="C28" s="4" t="s">
        <v>62</v>
      </c>
      <c r="D28" s="5">
        <v>70</v>
      </c>
      <c r="E28" s="4" t="s">
        <v>15</v>
      </c>
      <c r="F28" s="6"/>
      <c r="G28" s="7" t="str">
        <f t="shared" si="0"/>
        <v/>
      </c>
      <c r="H28" s="4"/>
    </row>
    <row r="29" spans="1:8" x14ac:dyDescent="0.25">
      <c r="A29" s="4" t="s">
        <v>56</v>
      </c>
      <c r="B29" s="4" t="s">
        <v>63</v>
      </c>
      <c r="C29" s="4" t="s">
        <v>64</v>
      </c>
      <c r="D29" s="5">
        <v>220</v>
      </c>
      <c r="E29" s="4" t="s">
        <v>15</v>
      </c>
      <c r="F29" s="6"/>
      <c r="G29" s="7" t="str">
        <f t="shared" si="0"/>
        <v/>
      </c>
      <c r="H29" s="4"/>
    </row>
    <row r="30" spans="1:8" x14ac:dyDescent="0.25">
      <c r="A30" s="4" t="s">
        <v>56</v>
      </c>
      <c r="B30" s="4" t="s">
        <v>65</v>
      </c>
      <c r="C30" s="4" t="s">
        <v>66</v>
      </c>
      <c r="D30" s="5">
        <v>300</v>
      </c>
      <c r="E30" s="4" t="s">
        <v>15</v>
      </c>
      <c r="F30" s="6"/>
      <c r="G30" s="7" t="str">
        <f t="shared" si="0"/>
        <v/>
      </c>
      <c r="H30" s="4"/>
    </row>
    <row r="31" spans="1:8" ht="28.5" x14ac:dyDescent="0.25">
      <c r="A31" s="4" t="s">
        <v>67</v>
      </c>
      <c r="B31" s="4" t="s">
        <v>68</v>
      </c>
      <c r="C31" s="4" t="s">
        <v>69</v>
      </c>
      <c r="D31" s="5">
        <v>25</v>
      </c>
      <c r="E31" s="4" t="s">
        <v>15</v>
      </c>
      <c r="F31" s="6"/>
      <c r="G31" s="7" t="str">
        <f t="shared" si="0"/>
        <v/>
      </c>
      <c r="H31" s="4"/>
    </row>
    <row r="32" spans="1:8" x14ac:dyDescent="0.25">
      <c r="A32" s="4" t="s">
        <v>67</v>
      </c>
      <c r="B32" s="4" t="s">
        <v>70</v>
      </c>
      <c r="C32" s="4" t="s">
        <v>71</v>
      </c>
      <c r="D32" s="5">
        <v>40</v>
      </c>
      <c r="E32" s="4" t="s">
        <v>15</v>
      </c>
      <c r="F32" s="6"/>
      <c r="G32" s="7" t="str">
        <f t="shared" si="0"/>
        <v/>
      </c>
      <c r="H32" s="4"/>
    </row>
    <row r="33" spans="1:8" x14ac:dyDescent="0.25">
      <c r="A33" s="4" t="s">
        <v>67</v>
      </c>
      <c r="B33" s="4" t="s">
        <v>72</v>
      </c>
      <c r="C33" s="4" t="s">
        <v>73</v>
      </c>
      <c r="D33" s="5">
        <v>45</v>
      </c>
      <c r="E33" s="4" t="s">
        <v>15</v>
      </c>
      <c r="F33" s="6"/>
      <c r="G33" s="7" t="str">
        <f t="shared" si="0"/>
        <v/>
      </c>
      <c r="H33" s="4"/>
    </row>
    <row r="34" spans="1:8" x14ac:dyDescent="0.25">
      <c r="A34" s="4" t="s">
        <v>67</v>
      </c>
      <c r="B34" s="4" t="s">
        <v>74</v>
      </c>
      <c r="C34" s="4" t="s">
        <v>75</v>
      </c>
      <c r="D34" s="5">
        <v>60</v>
      </c>
      <c r="E34" s="4" t="s">
        <v>15</v>
      </c>
      <c r="F34" s="6"/>
      <c r="G34" s="7" t="str">
        <f t="shared" si="0"/>
        <v/>
      </c>
      <c r="H34" s="4"/>
    </row>
    <row r="35" spans="1:8" ht="28.5" x14ac:dyDescent="0.25">
      <c r="A35" s="4" t="s">
        <v>67</v>
      </c>
      <c r="B35" s="4" t="s">
        <v>76</v>
      </c>
      <c r="C35" s="4" t="s">
        <v>77</v>
      </c>
      <c r="D35" s="5">
        <v>150</v>
      </c>
      <c r="E35" s="4" t="s">
        <v>15</v>
      </c>
      <c r="F35" s="6"/>
      <c r="G35" s="7" t="str">
        <f t="shared" si="0"/>
        <v/>
      </c>
      <c r="H35" s="4"/>
    </row>
    <row r="36" spans="1:8" x14ac:dyDescent="0.25">
      <c r="A36" s="4" t="s">
        <v>67</v>
      </c>
      <c r="B36" s="4" t="s">
        <v>78</v>
      </c>
      <c r="C36" s="4" t="s">
        <v>79</v>
      </c>
      <c r="D36" s="5">
        <v>200</v>
      </c>
      <c r="E36" s="4" t="s">
        <v>15</v>
      </c>
      <c r="F36" s="6"/>
      <c r="G36" s="7" t="str">
        <f t="shared" si="0"/>
        <v/>
      </c>
      <c r="H36" s="4"/>
    </row>
    <row r="37" spans="1:8" x14ac:dyDescent="0.25">
      <c r="A37" s="4" t="s">
        <v>67</v>
      </c>
      <c r="B37" s="4" t="s">
        <v>80</v>
      </c>
      <c r="C37" s="4" t="s">
        <v>81</v>
      </c>
      <c r="D37" s="5">
        <v>450</v>
      </c>
      <c r="E37" s="4" t="s">
        <v>15</v>
      </c>
      <c r="F37" s="6"/>
      <c r="G37" s="7" t="str">
        <f t="shared" si="0"/>
        <v/>
      </c>
      <c r="H37" s="4"/>
    </row>
    <row r="38" spans="1:8" ht="28.5" x14ac:dyDescent="0.25">
      <c r="A38" s="4" t="s">
        <v>82</v>
      </c>
      <c r="B38" s="4" t="s">
        <v>83</v>
      </c>
      <c r="C38" s="4" t="s">
        <v>84</v>
      </c>
      <c r="D38" s="5">
        <v>60</v>
      </c>
      <c r="E38" s="4" t="s">
        <v>15</v>
      </c>
      <c r="F38" s="6"/>
      <c r="G38" s="7" t="str">
        <f t="shared" si="0"/>
        <v/>
      </c>
      <c r="H38" s="4"/>
    </row>
    <row r="39" spans="1:8" ht="28.5" x14ac:dyDescent="0.25">
      <c r="A39" s="4" t="s">
        <v>82</v>
      </c>
      <c r="B39" s="4" t="s">
        <v>85</v>
      </c>
      <c r="C39" s="4" t="s">
        <v>86</v>
      </c>
      <c r="D39" s="5">
        <v>90</v>
      </c>
      <c r="E39" s="4" t="s">
        <v>15</v>
      </c>
      <c r="F39" s="6"/>
      <c r="G39" s="7" t="str">
        <f t="shared" si="0"/>
        <v/>
      </c>
      <c r="H39" s="4"/>
    </row>
    <row r="40" spans="1:8" ht="28.5" x14ac:dyDescent="0.25">
      <c r="A40" s="4" t="s">
        <v>82</v>
      </c>
      <c r="B40" s="4" t="s">
        <v>87</v>
      </c>
      <c r="C40" s="4" t="s">
        <v>88</v>
      </c>
      <c r="D40" s="5">
        <v>250</v>
      </c>
      <c r="E40" s="4" t="s">
        <v>15</v>
      </c>
      <c r="F40" s="6"/>
      <c r="G40" s="7" t="str">
        <f t="shared" si="0"/>
        <v/>
      </c>
      <c r="H40" s="4"/>
    </row>
    <row r="41" spans="1:8" x14ac:dyDescent="0.25">
      <c r="A41" s="4" t="s">
        <v>89</v>
      </c>
      <c r="B41" s="4" t="s">
        <v>90</v>
      </c>
      <c r="C41" s="4" t="s">
        <v>91</v>
      </c>
      <c r="D41" s="5">
        <v>45</v>
      </c>
      <c r="E41" s="4" t="s">
        <v>15</v>
      </c>
      <c r="F41" s="6"/>
      <c r="G41" s="7" t="str">
        <f t="shared" si="0"/>
        <v/>
      </c>
      <c r="H41" s="4"/>
    </row>
    <row r="42" spans="1:8" ht="28.5" x14ac:dyDescent="0.25">
      <c r="A42" s="4" t="s">
        <v>89</v>
      </c>
      <c r="B42" s="4" t="s">
        <v>92</v>
      </c>
      <c r="C42" s="4" t="s">
        <v>93</v>
      </c>
      <c r="D42" s="5">
        <v>55</v>
      </c>
      <c r="E42" s="4" t="s">
        <v>15</v>
      </c>
      <c r="F42" s="6"/>
      <c r="G42" s="7" t="str">
        <f t="shared" si="0"/>
        <v/>
      </c>
      <c r="H42" s="4"/>
    </row>
    <row r="43" spans="1:8" x14ac:dyDescent="0.25">
      <c r="A43" s="4" t="s">
        <v>89</v>
      </c>
      <c r="B43" s="4" t="s">
        <v>94</v>
      </c>
      <c r="C43" s="4" t="s">
        <v>95</v>
      </c>
      <c r="D43" s="5">
        <v>70</v>
      </c>
      <c r="E43" s="4" t="s">
        <v>15</v>
      </c>
      <c r="F43" s="6"/>
      <c r="G43" s="7" t="str">
        <f t="shared" si="0"/>
        <v/>
      </c>
      <c r="H43" s="4"/>
    </row>
    <row r="44" spans="1:8" ht="28.5" x14ac:dyDescent="0.25">
      <c r="A44" s="4" t="s">
        <v>89</v>
      </c>
      <c r="B44" s="4" t="s">
        <v>96</v>
      </c>
      <c r="C44" s="4" t="s">
        <v>97</v>
      </c>
      <c r="D44" s="5">
        <v>110</v>
      </c>
      <c r="E44" s="4" t="s">
        <v>15</v>
      </c>
      <c r="F44" s="6"/>
      <c r="G44" s="7" t="str">
        <f t="shared" si="0"/>
        <v/>
      </c>
      <c r="H44" s="4"/>
    </row>
    <row r="45" spans="1:8" ht="28.5" x14ac:dyDescent="0.25">
      <c r="A45" s="4" t="s">
        <v>89</v>
      </c>
      <c r="B45" s="4" t="s">
        <v>98</v>
      </c>
      <c r="C45" s="4" t="s">
        <v>99</v>
      </c>
      <c r="D45" s="5">
        <v>75</v>
      </c>
      <c r="E45" s="4" t="s">
        <v>15</v>
      </c>
      <c r="F45" s="6"/>
      <c r="G45" s="7" t="str">
        <f t="shared" si="0"/>
        <v/>
      </c>
      <c r="H45" s="4"/>
    </row>
    <row r="46" spans="1:8" ht="28.5" x14ac:dyDescent="0.25">
      <c r="A46" s="4" t="s">
        <v>100</v>
      </c>
      <c r="B46" s="4" t="s">
        <v>101</v>
      </c>
      <c r="C46" s="4" t="s">
        <v>102</v>
      </c>
      <c r="D46" s="5">
        <v>15</v>
      </c>
      <c r="E46" s="4" t="s">
        <v>15</v>
      </c>
      <c r="F46" s="6"/>
      <c r="G46" s="7" t="str">
        <f t="shared" si="0"/>
        <v/>
      </c>
      <c r="H46" s="4"/>
    </row>
    <row r="47" spans="1:8" ht="28.5" x14ac:dyDescent="0.25">
      <c r="A47" s="4" t="s">
        <v>100</v>
      </c>
      <c r="B47" s="4" t="s">
        <v>103</v>
      </c>
      <c r="C47" s="4" t="s">
        <v>104</v>
      </c>
      <c r="D47" s="5">
        <v>120</v>
      </c>
      <c r="E47" s="4" t="s">
        <v>15</v>
      </c>
      <c r="F47" s="6"/>
      <c r="G47" s="7" t="str">
        <f t="shared" si="0"/>
        <v/>
      </c>
      <c r="H47" s="4"/>
    </row>
    <row r="48" spans="1:8" x14ac:dyDescent="0.25">
      <c r="A48" s="4" t="s">
        <v>105</v>
      </c>
      <c r="B48" s="4" t="s">
        <v>106</v>
      </c>
      <c r="C48" s="4" t="s">
        <v>107</v>
      </c>
      <c r="D48" s="5">
        <v>30</v>
      </c>
      <c r="E48" s="4" t="s">
        <v>15</v>
      </c>
      <c r="F48" s="6"/>
      <c r="G48" s="7" t="str">
        <f t="shared" si="0"/>
        <v/>
      </c>
      <c r="H48" s="4"/>
    </row>
    <row r="49" spans="1:8" ht="28.5" x14ac:dyDescent="0.25">
      <c r="A49" s="4" t="s">
        <v>105</v>
      </c>
      <c r="B49" s="4" t="s">
        <v>108</v>
      </c>
      <c r="C49" s="4" t="s">
        <v>109</v>
      </c>
      <c r="D49" s="5">
        <v>400</v>
      </c>
      <c r="E49" s="4" t="s">
        <v>15</v>
      </c>
      <c r="F49" s="6"/>
      <c r="G49" s="7" t="str">
        <f t="shared" si="0"/>
        <v/>
      </c>
      <c r="H49" s="4"/>
    </row>
    <row r="50" spans="1:8" ht="28.5" x14ac:dyDescent="0.25">
      <c r="A50" s="4" t="s">
        <v>110</v>
      </c>
      <c r="B50" s="4" t="s">
        <v>111</v>
      </c>
      <c r="C50" s="4" t="s">
        <v>112</v>
      </c>
      <c r="D50" s="5">
        <v>40</v>
      </c>
      <c r="E50" s="4" t="s">
        <v>15</v>
      </c>
      <c r="F50" s="6"/>
      <c r="G50" s="7" t="str">
        <f t="shared" si="0"/>
        <v/>
      </c>
      <c r="H50" s="4"/>
    </row>
    <row r="51" spans="1:8" ht="28.5" x14ac:dyDescent="0.25">
      <c r="A51" s="4" t="s">
        <v>110</v>
      </c>
      <c r="B51" s="4" t="s">
        <v>113</v>
      </c>
      <c r="C51" s="4" t="s">
        <v>114</v>
      </c>
      <c r="D51" s="5">
        <v>150</v>
      </c>
      <c r="E51" s="4" t="s">
        <v>15</v>
      </c>
      <c r="F51" s="6"/>
      <c r="G51" s="7" t="str">
        <f t="shared" si="0"/>
        <v/>
      </c>
      <c r="H51" s="4"/>
    </row>
    <row r="52" spans="1:8" ht="28.5" x14ac:dyDescent="0.25">
      <c r="A52" s="4" t="s">
        <v>110</v>
      </c>
      <c r="B52" s="4" t="s">
        <v>115</v>
      </c>
      <c r="C52" s="4" t="s">
        <v>116</v>
      </c>
      <c r="D52" s="5">
        <v>280</v>
      </c>
      <c r="E52" s="4" t="s">
        <v>15</v>
      </c>
      <c r="F52" s="6"/>
      <c r="G52" s="7" t="str">
        <f t="shared" si="0"/>
        <v/>
      </c>
      <c r="H52" s="4"/>
    </row>
    <row r="53" spans="1:8" ht="28.5" x14ac:dyDescent="0.25">
      <c r="A53" s="4" t="s">
        <v>110</v>
      </c>
      <c r="B53" s="4" t="s">
        <v>117</v>
      </c>
      <c r="C53" s="4" t="s">
        <v>118</v>
      </c>
      <c r="D53" s="5">
        <v>350</v>
      </c>
      <c r="E53" s="4" t="s">
        <v>15</v>
      </c>
      <c r="F53" s="6"/>
      <c r="G53" s="7" t="str">
        <f t="shared" si="0"/>
        <v/>
      </c>
      <c r="H53" s="4"/>
    </row>
    <row r="55" spans="1:8" x14ac:dyDescent="0.25">
      <c r="A55" s="8" t="s">
        <v>119</v>
      </c>
      <c r="D55" s="8">
        <f>COUNTA(B7:B53)</f>
        <v>47</v>
      </c>
    </row>
    <row r="56" spans="1:8" x14ac:dyDescent="0.25">
      <c r="A56" s="8" t="s">
        <v>120</v>
      </c>
      <c r="D56" s="8">
        <f>COUNTIF(E7:E53,"Estimate")</f>
        <v>46</v>
      </c>
    </row>
    <row r="57" spans="1:8" x14ac:dyDescent="0.25">
      <c r="A57" s="8" t="s">
        <v>121</v>
      </c>
      <c r="D57" s="8">
        <f>COUNT(F7:F53)</f>
        <v>0</v>
      </c>
    </row>
  </sheetData>
  <autoFilter ref="A6:H53" xr:uid="{00000000-0009-0000-0000-000000000000}"/>
  <pageMargins left="0.75" right="0.75" top="1" bottom="1" header="0.5" footer="0.5"/>
  <pageSetup paperSize="9" scale="5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Estimated amounts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Otieno</cp:lastModifiedBy>
  <cp:lastPrinted>2026-09-23T14:06:45Z</cp:lastPrinted>
  <dcterms:created xsi:type="dcterms:W3CDTF">2026-09-23T14:02:22Z</dcterms:created>
  <dcterms:modified xsi:type="dcterms:W3CDTF">2026-09-23T14:06:48Z</dcterms:modified>
</cp:coreProperties>
</file>